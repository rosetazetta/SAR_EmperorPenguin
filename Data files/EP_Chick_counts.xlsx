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rose_foster-dyer_canterbury_ac_nz/Documents/Github/SAR_EmperorPenguin/Data files/"/>
    </mc:Choice>
  </mc:AlternateContent>
  <xr:revisionPtr revIDLastSave="7" documentId="8_{02A3841A-5056-4A75-9CF1-DF7051A171BB}" xr6:coauthVersionLast="47" xr6:coauthVersionMax="47" xr10:uidLastSave="{3CC57F80-9AA8-459F-B72E-3B86067846A3}"/>
  <bookViews>
    <workbookView xWindow="28680" yWindow="-120" windowWidth="29040" windowHeight="15720" xr2:uid="{EB158817-5172-4152-AB00-5FC7877E1557}"/>
  </bookViews>
  <sheets>
    <sheet name="chick counts" sheetId="1" r:id="rId1"/>
    <sheet name="corrected density estim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J6" i="2"/>
  <c r="J7" i="2"/>
  <c r="J8" i="2"/>
  <c r="J9" i="2"/>
  <c r="J10" i="2"/>
  <c r="J11" i="2"/>
  <c r="J12" i="2"/>
  <c r="I9" i="2"/>
  <c r="I8" i="2"/>
  <c r="I4" i="2"/>
  <c r="J4" i="2" s="1"/>
  <c r="I5" i="2"/>
  <c r="J5" i="2" s="1"/>
  <c r="I7" i="2"/>
  <c r="I10" i="2"/>
  <c r="I11" i="2"/>
  <c r="I12" i="2"/>
  <c r="I3" i="2"/>
  <c r="J3" i="2" s="1"/>
  <c r="E15" i="1"/>
  <c r="E20" i="1"/>
  <c r="E19" i="1"/>
</calcChain>
</file>

<file path=xl/sharedStrings.xml><?xml version="1.0" encoding="utf-8"?>
<sst xmlns="http://schemas.openxmlformats.org/spreadsheetml/2006/main" count="195" uniqueCount="75">
  <si>
    <t xml:space="preserve">colony_full </t>
  </si>
  <si>
    <t>colony</t>
  </si>
  <si>
    <t>site_id</t>
  </si>
  <si>
    <t>count</t>
  </si>
  <si>
    <t>year</t>
  </si>
  <si>
    <t>date</t>
  </si>
  <si>
    <t>season</t>
  </si>
  <si>
    <t>age</t>
  </si>
  <si>
    <t xml:space="preserve">credit </t>
  </si>
  <si>
    <t>notes</t>
  </si>
  <si>
    <t>Coulman Island</t>
  </si>
  <si>
    <t>Coulman</t>
  </si>
  <si>
    <t>COUL</t>
  </si>
  <si>
    <t>spring</t>
  </si>
  <si>
    <t>chicks</t>
  </si>
  <si>
    <t xml:space="preserve">Jeong-Hoon Kim </t>
  </si>
  <si>
    <t>Cape Crozier</t>
  </si>
  <si>
    <t>Crozier</t>
  </si>
  <si>
    <t>CROZ</t>
  </si>
  <si>
    <t>Annie Schmidt, Grant Ballard</t>
  </si>
  <si>
    <t xml:space="preserve">UAV drone survey </t>
  </si>
  <si>
    <t>adults</t>
  </si>
  <si>
    <t>small group (178) up on ice shelf missed in count but could not tell difference between chicks or adults, count is an underestimate</t>
  </si>
  <si>
    <t xml:space="preserve">Cape Roget </t>
  </si>
  <si>
    <t>Roget</t>
  </si>
  <si>
    <t>ROGE</t>
  </si>
  <si>
    <t xml:space="preserve">also have pre 2024 data if necessary </t>
  </si>
  <si>
    <t xml:space="preserve">Cape Washington </t>
  </si>
  <si>
    <t>Washington</t>
  </si>
  <si>
    <t>WASH</t>
  </si>
  <si>
    <t>Taylor Glacier</t>
  </si>
  <si>
    <t>Taylor</t>
  </si>
  <si>
    <t>TAYG</t>
  </si>
  <si>
    <t>winter</t>
  </si>
  <si>
    <t>Barbara Wienecke</t>
  </si>
  <si>
    <t>mid winter males!</t>
  </si>
  <si>
    <t xml:space="preserve">Amanda Bay </t>
  </si>
  <si>
    <t>Amanda</t>
  </si>
  <si>
    <t>AMAN</t>
  </si>
  <si>
    <t xml:space="preserve">Astrid Coast </t>
  </si>
  <si>
    <t>Astrid</t>
  </si>
  <si>
    <t>ASTD</t>
  </si>
  <si>
    <t>Lazarev Ice Shelf</t>
  </si>
  <si>
    <t>Lazarev</t>
  </si>
  <si>
    <t>LAZA</t>
  </si>
  <si>
    <t xml:space="preserve">late season, some chicks may have fledged already. Colony was separated into two groups (eastern  125 adults and 334 chicks; western 50 adults and 466 chicks) </t>
  </si>
  <si>
    <t>notes_2</t>
  </si>
  <si>
    <t xml:space="preserve">Corrected density coefficient based on chick count - minimum density </t>
  </si>
  <si>
    <t xml:space="preserve">colony </t>
  </si>
  <si>
    <t xml:space="preserve">chick count </t>
  </si>
  <si>
    <t>winter adult</t>
  </si>
  <si>
    <t xml:space="preserve">ERA5_density </t>
  </si>
  <si>
    <t xml:space="preserve">corrected density </t>
  </si>
  <si>
    <t>date_count</t>
  </si>
  <si>
    <t>SAR area</t>
  </si>
  <si>
    <t>9616.651274876565</t>
  </si>
  <si>
    <t>ERA5 count</t>
  </si>
  <si>
    <t>5.666344680314125</t>
  </si>
  <si>
    <t>6517.559268931868</t>
  </si>
  <si>
    <t>5.129912506139121</t>
  </si>
  <si>
    <t>1875.9097499479078</t>
  </si>
  <si>
    <t>4.606786610033545</t>
  </si>
  <si>
    <t>5851.312551073529</t>
  </si>
  <si>
    <t>6.6489557972860025</t>
  </si>
  <si>
    <t>2423.541469219153</t>
  </si>
  <si>
    <t>6.225369484604587</t>
  </si>
  <si>
    <t>2185.0153550441064</t>
  </si>
  <si>
    <t>2755.4767043818247</t>
  </si>
  <si>
    <t>6.689766324551863</t>
  </si>
  <si>
    <t>13147.607540269799</t>
  </si>
  <si>
    <t>5.910044215964429</t>
  </si>
  <si>
    <t>8666.077120969978</t>
  </si>
  <si>
    <t>difference in predicted and actual density</t>
  </si>
  <si>
    <t>date_SAR</t>
  </si>
  <si>
    <t>colony_name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</si>
</sst>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quotePrefix="1" applyFont="1"/>
    <xf numFmtId="0" fontId="1" fillId="2" borderId="0" xfId="0" quotePrefix="1" applyFont="1" applyFill="1"/>
    <xf numFmtId="0" fontId="0" fillId="0" borderId="0" xfId="0" applyFill="1"/>
    <xf numFmtId="3" fontId="1" fillId="0" borderId="0" xfId="0" applyNumberFormat="1" applyFont="1" applyFill="1"/>
    <xf numFmtId="14" fontId="0" fillId="0" borderId="0" xfId="0" applyNumberFormat="1" applyFill="1"/>
    <xf numFmtId="0" fontId="1" fillId="0" borderId="0" xfId="0" applyFont="1" applyFill="1"/>
    <xf numFmtId="0" fontId="0" fillId="0" borderId="0" xfId="0" applyFont="1" applyFill="1"/>
    <xf numFmtId="3" fontId="0" fillId="0" borderId="0" xfId="0" applyNumberFormat="1" applyFont="1" applyFill="1"/>
    <xf numFmtId="14" fontId="0" fillId="0" borderId="0" xfId="0" applyNumberFormat="1" applyFont="1" applyFill="1"/>
    <xf numFmtId="0" fontId="0" fillId="0" borderId="0" xfId="0" quotePrefix="1" applyFont="1" applyFill="1"/>
    <xf numFmtId="164" fontId="0" fillId="0" borderId="0" xfId="0" applyNumberFormat="1" applyFont="1" applyFill="1"/>
    <xf numFmtId="3" fontId="0" fillId="0" borderId="0" xfId="0" applyNumberFormat="1" applyFill="1"/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402C-CA1C-49AD-AB22-E157D46E8B82}">
  <dimension ref="A1:L23"/>
  <sheetViews>
    <sheetView tabSelected="1" zoomScale="96" zoomScaleNormal="96" workbookViewId="0">
      <selection activeCell="D26" sqref="D26"/>
    </sheetView>
  </sheetViews>
  <sheetFormatPr defaultRowHeight="15" x14ac:dyDescent="0.25"/>
  <cols>
    <col min="1" max="3" width="15.140625" style="3" customWidth="1"/>
    <col min="4" max="4" width="9.5703125" style="3" customWidth="1"/>
    <col min="5" max="5" width="8.7109375" style="6"/>
    <col min="6" max="6" width="9.140625" style="3"/>
    <col min="7" max="7" width="10.85546875" style="3" bestFit="1" customWidth="1"/>
    <col min="8" max="8" width="10.140625" style="3" customWidth="1"/>
    <col min="9" max="9" width="9.140625" style="3"/>
    <col min="10" max="10" width="24.140625" style="3" bestFit="1" customWidth="1"/>
    <col min="11" max="11" width="34" style="3" customWidth="1"/>
    <col min="12" max="16384" width="9.140625" style="3"/>
  </cols>
  <sheetData>
    <row r="1" spans="1:12" s="3" customFormat="1" x14ac:dyDescent="0.25">
      <c r="A1" s="3" t="s">
        <v>0</v>
      </c>
      <c r="B1" s="3" t="s">
        <v>1</v>
      </c>
      <c r="C1" s="3" t="s">
        <v>74</v>
      </c>
      <c r="D1" s="3" t="s">
        <v>2</v>
      </c>
      <c r="E1" s="6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46</v>
      </c>
    </row>
    <row r="2" spans="1:12" s="3" customFormat="1" x14ac:dyDescent="0.25">
      <c r="A2" s="3" t="s">
        <v>10</v>
      </c>
      <c r="B2" s="3" t="s">
        <v>11</v>
      </c>
      <c r="C2" s="3" t="s">
        <v>11</v>
      </c>
      <c r="D2" s="3" t="s">
        <v>12</v>
      </c>
      <c r="E2" s="4">
        <v>21242</v>
      </c>
      <c r="F2" s="3">
        <v>2024</v>
      </c>
      <c r="G2" s="5">
        <v>45617</v>
      </c>
      <c r="H2" s="12" t="s">
        <v>13</v>
      </c>
      <c r="I2" s="3" t="s">
        <v>14</v>
      </c>
      <c r="J2" s="3" t="s">
        <v>15</v>
      </c>
    </row>
    <row r="3" spans="1:12" s="3" customFormat="1" x14ac:dyDescent="0.25">
      <c r="A3" s="3" t="s">
        <v>10</v>
      </c>
      <c r="B3" s="3" t="s">
        <v>11</v>
      </c>
      <c r="C3" s="3" t="s">
        <v>11</v>
      </c>
      <c r="D3" s="3" t="s">
        <v>12</v>
      </c>
      <c r="E3" s="4">
        <v>6686</v>
      </c>
      <c r="F3" s="3">
        <v>2025</v>
      </c>
      <c r="G3" s="5">
        <v>45997</v>
      </c>
      <c r="H3" s="12" t="s">
        <v>13</v>
      </c>
      <c r="I3" s="3" t="s">
        <v>14</v>
      </c>
      <c r="J3" s="3" t="s">
        <v>15</v>
      </c>
    </row>
    <row r="4" spans="1:12" s="3" customFormat="1" x14ac:dyDescent="0.25">
      <c r="A4" s="3" t="s">
        <v>16</v>
      </c>
      <c r="B4" s="3" t="s">
        <v>17</v>
      </c>
      <c r="C4" s="3" t="s">
        <v>17</v>
      </c>
      <c r="D4" s="3" t="s">
        <v>18</v>
      </c>
      <c r="E4" s="4">
        <v>2773</v>
      </c>
      <c r="F4" s="3">
        <v>2024</v>
      </c>
      <c r="G4" s="5">
        <v>45617</v>
      </c>
      <c r="H4" s="12" t="s">
        <v>13</v>
      </c>
      <c r="I4" s="3" t="s">
        <v>14</v>
      </c>
      <c r="J4" s="3" t="s">
        <v>19</v>
      </c>
      <c r="K4" s="3" t="s">
        <v>20</v>
      </c>
    </row>
    <row r="5" spans="1:12" s="3" customFormat="1" x14ac:dyDescent="0.25">
      <c r="A5" s="3" t="s">
        <v>16</v>
      </c>
      <c r="B5" s="3" t="s">
        <v>17</v>
      </c>
      <c r="C5" s="3" t="s">
        <v>17</v>
      </c>
      <c r="D5" s="3" t="s">
        <v>18</v>
      </c>
      <c r="E5" s="4">
        <v>1075</v>
      </c>
      <c r="F5" s="3">
        <v>2024</v>
      </c>
      <c r="G5" s="5">
        <v>45617</v>
      </c>
      <c r="H5" s="12" t="s">
        <v>13</v>
      </c>
      <c r="I5" s="3" t="s">
        <v>21</v>
      </c>
      <c r="J5" s="3" t="s">
        <v>19</v>
      </c>
      <c r="K5" s="3" t="s">
        <v>20</v>
      </c>
    </row>
    <row r="6" spans="1:12" s="3" customFormat="1" x14ac:dyDescent="0.25">
      <c r="A6" s="3" t="s">
        <v>16</v>
      </c>
      <c r="B6" s="3" t="s">
        <v>17</v>
      </c>
      <c r="C6" s="3" t="s">
        <v>17</v>
      </c>
      <c r="D6" s="3" t="s">
        <v>18</v>
      </c>
      <c r="E6" s="4">
        <v>2782</v>
      </c>
      <c r="F6" s="3">
        <v>2025</v>
      </c>
      <c r="G6" s="5">
        <v>45983</v>
      </c>
      <c r="H6" s="12" t="s">
        <v>13</v>
      </c>
      <c r="I6" s="3" t="s">
        <v>14</v>
      </c>
      <c r="J6" s="3" t="s">
        <v>19</v>
      </c>
      <c r="K6" s="3" t="s">
        <v>22</v>
      </c>
    </row>
    <row r="7" spans="1:12" s="3" customFormat="1" x14ac:dyDescent="0.25">
      <c r="A7" s="3" t="s">
        <v>16</v>
      </c>
      <c r="B7" s="3" t="s">
        <v>17</v>
      </c>
      <c r="C7" s="3" t="s">
        <v>17</v>
      </c>
      <c r="D7" s="3" t="s">
        <v>18</v>
      </c>
      <c r="E7" s="4">
        <v>627</v>
      </c>
      <c r="F7" s="3">
        <v>2025</v>
      </c>
      <c r="G7" s="5">
        <v>45983</v>
      </c>
      <c r="H7" s="12" t="s">
        <v>13</v>
      </c>
      <c r="I7" s="3" t="s">
        <v>21</v>
      </c>
      <c r="J7" s="3" t="s">
        <v>19</v>
      </c>
      <c r="K7" s="3" t="s">
        <v>22</v>
      </c>
    </row>
    <row r="8" spans="1:12" s="3" customFormat="1" x14ac:dyDescent="0.25">
      <c r="A8" s="3" t="s">
        <v>23</v>
      </c>
      <c r="B8" s="3" t="s">
        <v>24</v>
      </c>
      <c r="C8" s="3" t="s">
        <v>24</v>
      </c>
      <c r="D8" s="3" t="s">
        <v>25</v>
      </c>
      <c r="E8" s="4">
        <v>7736</v>
      </c>
      <c r="F8" s="3">
        <v>2025</v>
      </c>
      <c r="G8" s="5">
        <v>45974</v>
      </c>
      <c r="H8" s="12" t="s">
        <v>13</v>
      </c>
      <c r="I8" s="3" t="s">
        <v>14</v>
      </c>
      <c r="J8" s="3" t="s">
        <v>15</v>
      </c>
      <c r="K8" s="3" t="s">
        <v>26</v>
      </c>
    </row>
    <row r="9" spans="1:12" s="3" customFormat="1" x14ac:dyDescent="0.25">
      <c r="A9" s="3" t="s">
        <v>23</v>
      </c>
      <c r="B9" s="3" t="s">
        <v>24</v>
      </c>
      <c r="C9" s="3" t="s">
        <v>24</v>
      </c>
      <c r="D9" s="3" t="s">
        <v>25</v>
      </c>
      <c r="E9" s="4">
        <v>7397</v>
      </c>
      <c r="F9" s="3">
        <v>2024</v>
      </c>
      <c r="G9" s="5">
        <v>45617</v>
      </c>
      <c r="H9" s="12" t="s">
        <v>13</v>
      </c>
      <c r="I9" s="3" t="s">
        <v>14</v>
      </c>
      <c r="J9" s="3" t="s">
        <v>15</v>
      </c>
      <c r="K9" s="3" t="s">
        <v>26</v>
      </c>
    </row>
    <row r="10" spans="1:12" s="3" customFormat="1" x14ac:dyDescent="0.25">
      <c r="A10" s="3" t="s">
        <v>27</v>
      </c>
      <c r="B10" s="3" t="s">
        <v>28</v>
      </c>
      <c r="C10" s="3" t="s">
        <v>28</v>
      </c>
      <c r="D10" s="3" t="s">
        <v>29</v>
      </c>
      <c r="E10" s="4">
        <v>13803</v>
      </c>
      <c r="F10" s="3">
        <v>2024</v>
      </c>
      <c r="G10" s="5">
        <v>45611</v>
      </c>
      <c r="H10" s="12" t="s">
        <v>13</v>
      </c>
      <c r="I10" s="3" t="s">
        <v>14</v>
      </c>
      <c r="J10" s="3" t="s">
        <v>15</v>
      </c>
      <c r="K10" s="3" t="s">
        <v>26</v>
      </c>
    </row>
    <row r="11" spans="1:12" s="3" customFormat="1" x14ac:dyDescent="0.25">
      <c r="A11" s="3" t="s">
        <v>27</v>
      </c>
      <c r="B11" s="3" t="s">
        <v>28</v>
      </c>
      <c r="C11" s="3" t="s">
        <v>28</v>
      </c>
      <c r="D11" s="3" t="s">
        <v>29</v>
      </c>
      <c r="E11" s="4">
        <v>14297</v>
      </c>
      <c r="F11" s="3">
        <v>2025</v>
      </c>
      <c r="G11" s="5">
        <v>45970</v>
      </c>
      <c r="H11" s="12" t="s">
        <v>13</v>
      </c>
      <c r="I11" s="3" t="s">
        <v>14</v>
      </c>
      <c r="J11" s="3" t="s">
        <v>15</v>
      </c>
      <c r="K11" s="3" t="s">
        <v>26</v>
      </c>
    </row>
    <row r="12" spans="1:12" s="3" customFormat="1" x14ac:dyDescent="0.25">
      <c r="A12" s="3" t="s">
        <v>30</v>
      </c>
      <c r="B12" s="3" t="s">
        <v>31</v>
      </c>
      <c r="C12" s="3" t="s">
        <v>31</v>
      </c>
      <c r="D12" s="3" t="s">
        <v>32</v>
      </c>
      <c r="E12" s="4">
        <v>2743</v>
      </c>
      <c r="F12" s="3">
        <v>2025</v>
      </c>
      <c r="G12" s="5">
        <v>45841</v>
      </c>
      <c r="H12" s="12" t="s">
        <v>33</v>
      </c>
      <c r="I12" s="3" t="s">
        <v>21</v>
      </c>
      <c r="J12" s="3" t="s">
        <v>34</v>
      </c>
      <c r="K12" s="3" t="s">
        <v>35</v>
      </c>
    </row>
    <row r="13" spans="1:12" s="3" customFormat="1" x14ac:dyDescent="0.25">
      <c r="A13" s="3" t="s">
        <v>30</v>
      </c>
      <c r="B13" s="3" t="s">
        <v>31</v>
      </c>
      <c r="C13" s="3" t="s">
        <v>31</v>
      </c>
      <c r="D13" s="3" t="s">
        <v>32</v>
      </c>
      <c r="E13" s="4">
        <v>503</v>
      </c>
      <c r="F13" s="3">
        <v>2025</v>
      </c>
      <c r="G13" s="5">
        <v>45982</v>
      </c>
      <c r="H13" s="12" t="s">
        <v>13</v>
      </c>
      <c r="I13" s="3" t="s">
        <v>21</v>
      </c>
      <c r="J13" s="3" t="s">
        <v>34</v>
      </c>
    </row>
    <row r="14" spans="1:12" s="3" customFormat="1" x14ac:dyDescent="0.25">
      <c r="A14" s="3" t="s">
        <v>30</v>
      </c>
      <c r="B14" s="3" t="s">
        <v>31</v>
      </c>
      <c r="C14" s="3" t="s">
        <v>31</v>
      </c>
      <c r="D14" s="3" t="s">
        <v>32</v>
      </c>
      <c r="E14" s="4">
        <v>1987</v>
      </c>
      <c r="F14" s="3">
        <v>2025</v>
      </c>
      <c r="G14" s="5">
        <v>45982</v>
      </c>
      <c r="H14" s="12" t="s">
        <v>13</v>
      </c>
      <c r="I14" s="3" t="s">
        <v>14</v>
      </c>
      <c r="J14" s="3" t="s">
        <v>34</v>
      </c>
    </row>
    <row r="15" spans="1:12" s="3" customFormat="1" x14ac:dyDescent="0.25">
      <c r="A15" s="3" t="s">
        <v>36</v>
      </c>
      <c r="B15" s="3" t="s">
        <v>37</v>
      </c>
      <c r="C15" s="3" t="s">
        <v>37</v>
      </c>
      <c r="D15" s="3" t="s">
        <v>38</v>
      </c>
      <c r="E15" s="6">
        <f>3574+567</f>
        <v>4141</v>
      </c>
      <c r="F15" s="3">
        <v>2025</v>
      </c>
      <c r="G15" s="5">
        <v>45989</v>
      </c>
      <c r="H15" s="3" t="s">
        <v>13</v>
      </c>
      <c r="I15" s="3" t="s">
        <v>21</v>
      </c>
      <c r="J15" s="3" t="s">
        <v>34</v>
      </c>
    </row>
    <row r="16" spans="1:12" s="3" customFormat="1" x14ac:dyDescent="0.25">
      <c r="A16" s="3" t="s">
        <v>36</v>
      </c>
      <c r="B16" s="3" t="s">
        <v>37</v>
      </c>
      <c r="C16" s="3" t="s">
        <v>37</v>
      </c>
      <c r="D16" s="3" t="s">
        <v>38</v>
      </c>
      <c r="E16" s="4">
        <v>10387</v>
      </c>
      <c r="F16" s="3">
        <v>2025</v>
      </c>
      <c r="G16" s="5">
        <v>45989</v>
      </c>
      <c r="H16" s="3" t="s">
        <v>13</v>
      </c>
      <c r="I16" s="3" t="s">
        <v>14</v>
      </c>
      <c r="J16" s="3" t="s">
        <v>34</v>
      </c>
    </row>
    <row r="17" spans="1:11" s="3" customFormat="1" x14ac:dyDescent="0.25">
      <c r="A17" s="3" t="s">
        <v>39</v>
      </c>
      <c r="B17" s="3" t="s">
        <v>40</v>
      </c>
      <c r="C17" s="3" t="s">
        <v>40</v>
      </c>
      <c r="D17" s="3" t="s">
        <v>41</v>
      </c>
      <c r="E17" s="4">
        <v>5123</v>
      </c>
      <c r="F17" s="3">
        <v>2025</v>
      </c>
      <c r="G17" s="5">
        <v>45950</v>
      </c>
      <c r="H17" s="3" t="s">
        <v>13</v>
      </c>
      <c r="I17" s="3" t="s">
        <v>21</v>
      </c>
      <c r="J17" s="3" t="s">
        <v>34</v>
      </c>
    </row>
    <row r="18" spans="1:11" s="3" customFormat="1" x14ac:dyDescent="0.25">
      <c r="A18" s="3" t="s">
        <v>39</v>
      </c>
      <c r="B18" s="3" t="s">
        <v>40</v>
      </c>
      <c r="C18" s="3" t="s">
        <v>40</v>
      </c>
      <c r="D18" s="3" t="s">
        <v>41</v>
      </c>
      <c r="E18" s="4">
        <v>6258</v>
      </c>
      <c r="F18" s="3">
        <v>2025</v>
      </c>
      <c r="G18" s="5">
        <v>45950</v>
      </c>
      <c r="H18" s="3" t="s">
        <v>13</v>
      </c>
      <c r="I18" s="3" t="s">
        <v>14</v>
      </c>
      <c r="J18" s="3" t="s">
        <v>34</v>
      </c>
    </row>
    <row r="19" spans="1:11" s="3" customFormat="1" x14ac:dyDescent="0.25">
      <c r="A19" s="3" t="s">
        <v>42</v>
      </c>
      <c r="B19" s="3" t="s">
        <v>43</v>
      </c>
      <c r="C19" s="3" t="s">
        <v>43</v>
      </c>
      <c r="D19" s="3" t="s">
        <v>44</v>
      </c>
      <c r="E19" s="6">
        <f>466+334</f>
        <v>800</v>
      </c>
      <c r="F19" s="3">
        <v>2025</v>
      </c>
      <c r="G19" s="5">
        <v>46008</v>
      </c>
      <c r="H19" s="3" t="s">
        <v>13</v>
      </c>
      <c r="I19" s="3" t="s">
        <v>14</v>
      </c>
      <c r="J19" s="3" t="s">
        <v>34</v>
      </c>
      <c r="K19" s="3" t="s">
        <v>45</v>
      </c>
    </row>
    <row r="20" spans="1:11" s="3" customFormat="1" x14ac:dyDescent="0.25">
      <c r="A20" s="3" t="s">
        <v>42</v>
      </c>
      <c r="B20" s="3" t="s">
        <v>43</v>
      </c>
      <c r="C20" s="3" t="s">
        <v>43</v>
      </c>
      <c r="D20" s="3" t="s">
        <v>44</v>
      </c>
      <c r="E20" s="6">
        <f>50+125</f>
        <v>175</v>
      </c>
      <c r="F20" s="3">
        <v>2025</v>
      </c>
      <c r="G20" s="5">
        <v>46008</v>
      </c>
      <c r="H20" s="3" t="s">
        <v>13</v>
      </c>
      <c r="I20" s="3" t="s">
        <v>21</v>
      </c>
      <c r="J20" s="3" t="s">
        <v>34</v>
      </c>
      <c r="K20" s="3" t="s">
        <v>45</v>
      </c>
    </row>
    <row r="21" spans="1:11" s="3" customFormat="1" x14ac:dyDescent="0.25">
      <c r="E21" s="13"/>
      <c r="F21" s="14"/>
      <c r="G21" s="14"/>
      <c r="H21" s="15"/>
      <c r="I21" s="16"/>
    </row>
    <row r="22" spans="1:11" s="3" customFormat="1" x14ac:dyDescent="0.25">
      <c r="E22" s="13"/>
      <c r="F22" s="14"/>
      <c r="G22" s="14"/>
      <c r="H22" s="15"/>
      <c r="I22" s="16"/>
    </row>
    <row r="23" spans="1:11" s="3" customFormat="1" x14ac:dyDescent="0.25">
      <c r="E23" s="13"/>
      <c r="F23" s="14"/>
      <c r="G23" s="14"/>
      <c r="H23" s="15"/>
      <c r="I23" s="16"/>
    </row>
  </sheetData>
  <mergeCells count="4">
    <mergeCell ref="E21:E23"/>
    <mergeCell ref="F21:F23"/>
    <mergeCell ref="G21:G23"/>
    <mergeCell ref="H21:H23"/>
  </mergeCells>
  <pageMargins left="0.7" right="0.7" top="0.75" bottom="0.75" header="0.3" footer="0.3"/>
  <pageSetup paperSize="9" orientation="portrait" r:id="rId1"/>
  <headerFooter>
    <oddFooter>&amp;C_x000D_&amp;1#&amp;"Aptos"&amp;7&amp;K000000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BAFA-225E-47C4-B7A5-F5BE9D139898}">
  <dimension ref="A1:K23"/>
  <sheetViews>
    <sheetView workbookViewId="0">
      <selection activeCell="F22" sqref="F22"/>
    </sheetView>
  </sheetViews>
  <sheetFormatPr defaultRowHeight="15" x14ac:dyDescent="0.25"/>
  <cols>
    <col min="1" max="1" width="11.42578125" customWidth="1"/>
    <col min="2" max="3" width="12.42578125" customWidth="1"/>
    <col min="4" max="4" width="10.42578125" bestFit="1" customWidth="1"/>
    <col min="5" max="6" width="13.7109375" customWidth="1"/>
    <col min="7" max="7" width="15" customWidth="1"/>
    <col min="8" max="8" width="13.28515625" customWidth="1"/>
    <col min="9" max="9" width="17.5703125" bestFit="1" customWidth="1"/>
    <col min="10" max="10" width="37.7109375" customWidth="1"/>
  </cols>
  <sheetData>
    <row r="1" spans="1:11" x14ac:dyDescent="0.25">
      <c r="A1" s="7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7" t="s">
        <v>48</v>
      </c>
      <c r="B2" s="7" t="s">
        <v>49</v>
      </c>
      <c r="C2" s="7" t="s">
        <v>50</v>
      </c>
      <c r="D2" s="7" t="s">
        <v>53</v>
      </c>
      <c r="E2" s="7" t="s">
        <v>54</v>
      </c>
      <c r="F2" s="7" t="s">
        <v>73</v>
      </c>
      <c r="G2" s="7" t="s">
        <v>51</v>
      </c>
      <c r="H2" s="7" t="s">
        <v>56</v>
      </c>
      <c r="I2" s="7" t="s">
        <v>52</v>
      </c>
      <c r="J2" s="7" t="s">
        <v>72</v>
      </c>
      <c r="K2" s="7"/>
    </row>
    <row r="3" spans="1:11" x14ac:dyDescent="0.25">
      <c r="A3" s="7" t="s">
        <v>17</v>
      </c>
      <c r="B3" s="8">
        <v>2782</v>
      </c>
      <c r="C3" s="8"/>
      <c r="D3" s="9">
        <v>45983</v>
      </c>
      <c r="E3" s="7">
        <v>365.68065200000001</v>
      </c>
      <c r="F3" s="9">
        <v>45856</v>
      </c>
      <c r="G3" s="10" t="s">
        <v>59</v>
      </c>
      <c r="H3" s="10" t="s">
        <v>60</v>
      </c>
      <c r="I3" s="11">
        <f>B3/E3</f>
        <v>7.6077309116151977</v>
      </c>
      <c r="J3" s="7">
        <f>I3/G3</f>
        <v>1.4830137750908614</v>
      </c>
      <c r="K3" s="7"/>
    </row>
    <row r="4" spans="1:11" x14ac:dyDescent="0.25">
      <c r="A4" s="7" t="s">
        <v>17</v>
      </c>
      <c r="B4" s="8">
        <v>2782</v>
      </c>
      <c r="C4" s="8"/>
      <c r="D4" s="9">
        <v>45983</v>
      </c>
      <c r="E4" s="7">
        <v>364.49956100000003</v>
      </c>
      <c r="F4" s="9">
        <v>45838</v>
      </c>
      <c r="G4" s="10" t="s">
        <v>63</v>
      </c>
      <c r="H4" s="10" t="s">
        <v>64</v>
      </c>
      <c r="I4" s="11">
        <f t="shared" ref="I4:I5" si="0">B4/E4</f>
        <v>7.6323823062162752</v>
      </c>
      <c r="J4" s="7">
        <f t="shared" ref="J4:J5" si="1">I4/G4</f>
        <v>1.1479069103349573</v>
      </c>
      <c r="K4" s="7"/>
    </row>
    <row r="5" spans="1:11" x14ac:dyDescent="0.25">
      <c r="A5" s="7" t="s">
        <v>24</v>
      </c>
      <c r="B5" s="8">
        <v>7736</v>
      </c>
      <c r="C5" s="8"/>
      <c r="D5" s="9">
        <v>45974</v>
      </c>
      <c r="E5" s="7">
        <v>1270.150551</v>
      </c>
      <c r="F5" s="9">
        <v>45856</v>
      </c>
      <c r="G5" s="10" t="s">
        <v>61</v>
      </c>
      <c r="H5" s="10" t="s">
        <v>62</v>
      </c>
      <c r="I5" s="11">
        <f t="shared" si="0"/>
        <v>6.0906165760502828</v>
      </c>
      <c r="J5" s="7">
        <f t="shared" si="1"/>
        <v>1.3220965266298583</v>
      </c>
      <c r="K5" s="7"/>
    </row>
    <row r="6" spans="1:11" x14ac:dyDescent="0.25">
      <c r="A6" s="7" t="s">
        <v>24</v>
      </c>
      <c r="B6" s="8">
        <v>7736</v>
      </c>
      <c r="C6" s="8"/>
      <c r="D6" s="9">
        <v>45974</v>
      </c>
      <c r="E6" s="7">
        <v>1466.330336</v>
      </c>
      <c r="F6" s="9">
        <v>45838</v>
      </c>
      <c r="G6" s="10" t="s">
        <v>70</v>
      </c>
      <c r="H6" s="10" t="s">
        <v>71</v>
      </c>
      <c r="I6" s="11">
        <f t="shared" ref="I6" si="2">B6/E6</f>
        <v>5.2757552715597642</v>
      </c>
      <c r="J6" s="7">
        <f t="shared" ref="J6" si="3">I6/G6</f>
        <v>0.89267610846441858</v>
      </c>
      <c r="K6" s="7"/>
    </row>
    <row r="7" spans="1:11" x14ac:dyDescent="0.25">
      <c r="A7" s="7" t="s">
        <v>28</v>
      </c>
      <c r="B7" s="8">
        <v>14297</v>
      </c>
      <c r="C7" s="8"/>
      <c r="D7" s="9">
        <v>45970</v>
      </c>
      <c r="E7" s="7">
        <v>1934.234719</v>
      </c>
      <c r="F7" s="9">
        <v>45856</v>
      </c>
      <c r="G7" s="7">
        <v>6.7973175184587298</v>
      </c>
      <c r="H7" s="10" t="s">
        <v>69</v>
      </c>
      <c r="I7" s="11">
        <f>B7/E7</f>
        <v>7.3915538065574342</v>
      </c>
      <c r="J7" s="7">
        <f t="shared" ref="J7:J12" si="4">I7/G7</f>
        <v>1.0874221759517637</v>
      </c>
      <c r="K7" s="7"/>
    </row>
    <row r="8" spans="1:11" x14ac:dyDescent="0.25">
      <c r="A8" s="7" t="s">
        <v>31</v>
      </c>
      <c r="B8" s="7"/>
      <c r="C8" s="8">
        <v>2743</v>
      </c>
      <c r="D8" s="9">
        <v>45841</v>
      </c>
      <c r="E8" s="7">
        <v>350.98565000000002</v>
      </c>
      <c r="F8" s="9">
        <v>45846</v>
      </c>
      <c r="G8" s="10" t="s">
        <v>65</v>
      </c>
      <c r="H8" s="10" t="s">
        <v>66</v>
      </c>
      <c r="I8" s="11">
        <f>C8/E8</f>
        <v>7.8151343224430967</v>
      </c>
      <c r="J8" s="7">
        <f t="shared" si="4"/>
        <v>1.2553687522917356</v>
      </c>
      <c r="K8" s="7"/>
    </row>
    <row r="9" spans="1:11" x14ac:dyDescent="0.25">
      <c r="A9" s="7" t="s">
        <v>31</v>
      </c>
      <c r="B9" s="7"/>
      <c r="C9" s="8">
        <v>2743</v>
      </c>
      <c r="D9" s="9">
        <v>45841</v>
      </c>
      <c r="E9" s="7">
        <v>411.89431300000001</v>
      </c>
      <c r="F9" s="9">
        <v>45860</v>
      </c>
      <c r="G9" s="10" t="s">
        <v>68</v>
      </c>
      <c r="H9" s="10" t="s">
        <v>67</v>
      </c>
      <c r="I9" s="11">
        <f>C9/E9</f>
        <v>6.659475291177424</v>
      </c>
      <c r="J9" s="7">
        <f t="shared" si="4"/>
        <v>0.99547203416309693</v>
      </c>
      <c r="K9" s="7"/>
    </row>
    <row r="10" spans="1:11" x14ac:dyDescent="0.25">
      <c r="A10" s="7" t="s">
        <v>31</v>
      </c>
      <c r="B10" s="8">
        <v>1987</v>
      </c>
      <c r="C10" s="8"/>
      <c r="D10" s="9">
        <v>45982</v>
      </c>
      <c r="E10" s="7">
        <v>350.98565000000002</v>
      </c>
      <c r="F10" s="9">
        <v>45846</v>
      </c>
      <c r="G10" s="10" t="s">
        <v>65</v>
      </c>
      <c r="H10" s="10" t="s">
        <v>66</v>
      </c>
      <c r="I10" s="11">
        <f>B10/E10</f>
        <v>5.6612001088933406</v>
      </c>
      <c r="J10" s="7">
        <f t="shared" si="4"/>
        <v>0.90937576040965318</v>
      </c>
      <c r="K10" s="7"/>
    </row>
    <row r="11" spans="1:11" x14ac:dyDescent="0.25">
      <c r="A11" s="7" t="s">
        <v>37</v>
      </c>
      <c r="B11" s="8">
        <v>10387</v>
      </c>
      <c r="C11" s="8"/>
      <c r="D11" s="9">
        <v>45989</v>
      </c>
      <c r="E11" s="7">
        <v>1579.1952779999999</v>
      </c>
      <c r="F11" s="9">
        <v>45860</v>
      </c>
      <c r="G11" s="7">
        <v>6.0895896845991997</v>
      </c>
      <c r="H11" s="10" t="s">
        <v>55</v>
      </c>
      <c r="I11" s="11">
        <f>B11/E11</f>
        <v>6.5774006196084898</v>
      </c>
      <c r="J11" s="7">
        <f t="shared" si="4"/>
        <v>1.0801057148797697</v>
      </c>
      <c r="K11" s="7"/>
    </row>
    <row r="12" spans="1:11" x14ac:dyDescent="0.25">
      <c r="A12" s="7" t="s">
        <v>40</v>
      </c>
      <c r="B12" s="8">
        <v>6258</v>
      </c>
      <c r="C12" s="8"/>
      <c r="D12" s="9">
        <v>45950</v>
      </c>
      <c r="E12" s="7">
        <v>1150.2228749999999</v>
      </c>
      <c r="F12" s="9">
        <v>45834</v>
      </c>
      <c r="G12" s="10" t="s">
        <v>57</v>
      </c>
      <c r="H12" s="10" t="s">
        <v>58</v>
      </c>
      <c r="I12" s="11">
        <f>B12/E12</f>
        <v>5.4406847020843685</v>
      </c>
      <c r="J12" s="7">
        <f t="shared" si="4"/>
        <v>0.96017538802153457</v>
      </c>
      <c r="K12" s="7"/>
    </row>
    <row r="13" spans="1:1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22" spans="4:4" x14ac:dyDescent="0.25">
      <c r="D22" s="2"/>
    </row>
    <row r="23" spans="4:4" x14ac:dyDescent="0.25">
      <c r="D23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chick counts</vt:lpstr>
      <vt:lpstr>corrected density estimate</vt:lpstr>
    </vt:vector>
  </TitlesOfParts>
  <Manager/>
  <Company>University of Canterbury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</dc:creator>
  <cp:keywords/>
  <dc:description/>
  <cp:lastModifiedBy>RFD</cp:lastModifiedBy>
  <cp:revision/>
  <dcterms:created xsi:type="dcterms:W3CDTF">2026-03-03T03:28:05Z</dcterms:created>
  <dcterms:modified xsi:type="dcterms:W3CDTF">2026-08-31T00:19:07Z</dcterms:modified>
  <cp:category/>
  <cp:contentStatus/>
</cp:coreProperties>
</file>